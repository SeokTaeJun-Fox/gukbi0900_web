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6a86b0d0d023efb/문서/lovegan/"/>
    </mc:Choice>
  </mc:AlternateContent>
  <xr:revisionPtr revIDLastSave="352" documentId="13_ncr:1_{8F605332-521C-4E65-AC30-B5659B092871}" xr6:coauthVersionLast="47" xr6:coauthVersionMax="47" xr10:uidLastSave="{92616E6A-5E4B-4323-AA19-0EFFF4F25626}"/>
  <bookViews>
    <workbookView xWindow="-98" yWindow="-98" windowWidth="21795" windowHeight="12975" xr2:uid="{00000000-000D-0000-FFFF-FFFF00000000}"/>
  </bookViews>
  <sheets>
    <sheet name="2차 백앤드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10" l="1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F52" i="10"/>
  <c r="F3" i="10" s="1"/>
  <c r="H40" i="10"/>
  <c r="G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F40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F31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F17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F12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F5" i="10"/>
  <c r="E3" i="10"/>
  <c r="G3" i="10" l="1"/>
  <c r="V3" i="10"/>
  <c r="X3" i="10"/>
  <c r="T3" i="10"/>
  <c r="L3" i="10"/>
  <c r="U3" i="10"/>
  <c r="W3" i="10"/>
  <c r="S3" i="10"/>
  <c r="Q3" i="10"/>
  <c r="P3" i="10"/>
  <c r="O3" i="10"/>
  <c r="M3" i="10"/>
  <c r="K3" i="10"/>
  <c r="R3" i="10"/>
  <c r="Y3" i="10"/>
  <c r="N3" i="10"/>
  <c r="J3" i="10"/>
  <c r="I3" i="10"/>
  <c r="H3" i="10"/>
</calcChain>
</file>

<file path=xl/sharedStrings.xml><?xml version="1.0" encoding="utf-8"?>
<sst xmlns="http://schemas.openxmlformats.org/spreadsheetml/2006/main" count="92" uniqueCount="67">
  <si>
    <t>페이지</t>
    <phoneticPr fontId="3" type="noConversion"/>
  </si>
  <si>
    <t>기능</t>
    <phoneticPr fontId="3" type="noConversion"/>
  </si>
  <si>
    <t>로그인</t>
    <phoneticPr fontId="3" type="noConversion"/>
  </si>
  <si>
    <t>회원가입</t>
    <phoneticPr fontId="3" type="noConversion"/>
  </si>
  <si>
    <t>최예인</t>
    <phoneticPr fontId="3" type="noConversion"/>
  </si>
  <si>
    <t>커뮤니티</t>
    <phoneticPr fontId="3" type="noConversion"/>
  </si>
  <si>
    <t>게시글 등록/수정하기</t>
    <phoneticPr fontId="3" type="noConversion"/>
  </si>
  <si>
    <t>게시글 목록페이지</t>
    <phoneticPr fontId="3" type="noConversion"/>
  </si>
  <si>
    <t>비밀번호 재설정</t>
    <phoneticPr fontId="3" type="noConversion"/>
  </si>
  <si>
    <t>카카오 로그인 API</t>
    <phoneticPr fontId="3" type="noConversion"/>
  </si>
  <si>
    <t>11월 15일</t>
    <phoneticPr fontId="3" type="noConversion"/>
  </si>
  <si>
    <t>월 일</t>
    <phoneticPr fontId="3" type="noConversion"/>
  </si>
  <si>
    <t>최윤식</t>
    <phoneticPr fontId="3" type="noConversion"/>
  </si>
  <si>
    <t>김한비</t>
    <phoneticPr fontId="3" type="noConversion"/>
  </si>
  <si>
    <t>김유현</t>
    <phoneticPr fontId="3" type="noConversion"/>
  </si>
  <si>
    <t>강혜윤</t>
    <phoneticPr fontId="3" type="noConversion"/>
  </si>
  <si>
    <t>프론트 50%, 백 50% 기준</t>
    <phoneticPr fontId="3" type="noConversion"/>
  </si>
  <si>
    <t>메인 페이지</t>
    <phoneticPr fontId="3" type="noConversion"/>
  </si>
  <si>
    <t>BRAND 페이지</t>
    <phoneticPr fontId="3" type="noConversion"/>
  </si>
  <si>
    <t>PRODUCT 페이지</t>
    <phoneticPr fontId="3" type="noConversion"/>
  </si>
  <si>
    <t>FOOD 목록 페이지</t>
    <phoneticPr fontId="3" type="noConversion"/>
  </si>
  <si>
    <t>FOOD 상세 페이지</t>
    <phoneticPr fontId="3" type="noConversion"/>
  </si>
  <si>
    <t>OTHER 목록 페이지</t>
    <phoneticPr fontId="3" type="noConversion"/>
  </si>
  <si>
    <t>OTHER 상세 페이지</t>
    <phoneticPr fontId="3" type="noConversion"/>
  </si>
  <si>
    <t>ALL 목록 페이지</t>
    <phoneticPr fontId="3" type="noConversion"/>
  </si>
  <si>
    <t>ALL 상세 페이지</t>
    <phoneticPr fontId="3" type="noConversion"/>
  </si>
  <si>
    <t>FOLLOW 목록 페이지</t>
    <phoneticPr fontId="3" type="noConversion"/>
  </si>
  <si>
    <t>FOLLOW 상세 페이지</t>
    <phoneticPr fontId="3" type="noConversion"/>
  </si>
  <si>
    <t>다이어리</t>
    <phoneticPr fontId="3" type="noConversion"/>
  </si>
  <si>
    <t>달력</t>
    <phoneticPr fontId="3" type="noConversion"/>
  </si>
  <si>
    <t>식단 기록</t>
    <phoneticPr fontId="3" type="noConversion"/>
  </si>
  <si>
    <t>일반 회원가입</t>
    <phoneticPr fontId="3" type="noConversion"/>
  </si>
  <si>
    <t>회원가입 완료 페이지</t>
    <phoneticPr fontId="3" type="noConversion"/>
  </si>
  <si>
    <t>카카오 회원가입</t>
    <phoneticPr fontId="3" type="noConversion"/>
  </si>
  <si>
    <t>네이버 회원가입</t>
    <phoneticPr fontId="3" type="noConversion"/>
  </si>
  <si>
    <t>구글 회원가입</t>
    <phoneticPr fontId="3" type="noConversion"/>
  </si>
  <si>
    <t>네이버 로그인</t>
    <phoneticPr fontId="3" type="noConversion"/>
  </si>
  <si>
    <t>구글 로그인</t>
    <phoneticPr fontId="3" type="noConversion"/>
  </si>
  <si>
    <t>일반 로그인</t>
    <phoneticPr fontId="3" type="noConversion"/>
  </si>
  <si>
    <t>아이디 찾기</t>
    <phoneticPr fontId="3" type="noConversion"/>
  </si>
  <si>
    <t>비밀번호 재설정</t>
    <phoneticPr fontId="3" type="noConversion"/>
  </si>
  <si>
    <t>총 진행률</t>
    <phoneticPr fontId="3" type="noConversion"/>
  </si>
  <si>
    <t>오류 페이지</t>
    <phoneticPr fontId="3" type="noConversion"/>
  </si>
  <si>
    <t>검색 결과 페이지</t>
    <phoneticPr fontId="3" type="noConversion"/>
  </si>
  <si>
    <t>고객센터</t>
    <phoneticPr fontId="3" type="noConversion"/>
  </si>
  <si>
    <t>공지사항 목록 페이지</t>
    <phoneticPr fontId="3" type="noConversion"/>
  </si>
  <si>
    <t>공지사항 상세 페이지</t>
    <phoneticPr fontId="3" type="noConversion"/>
  </si>
  <si>
    <t>자주하는 질문</t>
    <phoneticPr fontId="3" type="noConversion"/>
  </si>
  <si>
    <t>1:1 문의 작성 페이지</t>
    <phoneticPr fontId="3" type="noConversion"/>
  </si>
  <si>
    <t>1:1 문의 수정 페이지</t>
    <phoneticPr fontId="3" type="noConversion"/>
  </si>
  <si>
    <t>1:1 문의 목록 페이지</t>
    <phoneticPr fontId="3" type="noConversion"/>
  </si>
  <si>
    <t>장바구니, 레스토랑 현재 없음</t>
    <phoneticPr fontId="3" type="noConversion"/>
  </si>
  <si>
    <t>마이페이지
- My Activity</t>
    <phoneticPr fontId="3" type="noConversion"/>
  </si>
  <si>
    <t>마이페이지
- Shopping</t>
    <phoneticPr fontId="3" type="noConversion"/>
  </si>
  <si>
    <t>마이페이지
- Settings</t>
    <phoneticPr fontId="3" type="noConversion"/>
  </si>
  <si>
    <t>게시물</t>
    <phoneticPr fontId="3" type="noConversion"/>
  </si>
  <si>
    <t>팔로워/팔로잉</t>
    <phoneticPr fontId="3" type="noConversion"/>
  </si>
  <si>
    <t>좋아요</t>
    <phoneticPr fontId="3" type="noConversion"/>
  </si>
  <si>
    <t>스크랩</t>
    <phoneticPr fontId="3" type="noConversion"/>
  </si>
  <si>
    <t>쿠폰북</t>
    <phoneticPr fontId="3" type="noConversion"/>
  </si>
  <si>
    <t>주문 내역</t>
    <phoneticPr fontId="3" type="noConversion"/>
  </si>
  <si>
    <t>상품 후기</t>
    <phoneticPr fontId="3" type="noConversion"/>
  </si>
  <si>
    <t>상품 문의</t>
    <phoneticPr fontId="3" type="noConversion"/>
  </si>
  <si>
    <t>배송지 관리</t>
    <phoneticPr fontId="3" type="noConversion"/>
  </si>
  <si>
    <t>회원정보 수정</t>
    <phoneticPr fontId="3" type="noConversion"/>
  </si>
  <si>
    <t>비밀번호 변경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</si>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</sst>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6" borderId="5" applyNumberFormat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9" fontId="5" fillId="2" borderId="1" xfId="2" applyNumberFormat="1" applyFont="1" applyBorder="1" applyAlignment="1">
      <alignment horizontal="center" vertical="center"/>
    </xf>
    <xf numFmtId="176" fontId="4" fillId="3" borderId="1" xfId="1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9" fontId="4" fillId="4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0" borderId="1" xfId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6" fillId="6" borderId="5" xfId="3" applyAlignment="1">
      <alignment horizontal="center" vertical="center"/>
    </xf>
    <xf numFmtId="0" fontId="6" fillId="6" borderId="5" xfId="3" applyAlignment="1">
      <alignment horizontal="center" vertical="center"/>
    </xf>
  </cellXfs>
  <cellStyles count="4">
    <cellStyle name="백분율" xfId="1" builtinId="5"/>
    <cellStyle name="좋음" xfId="2" builtinId="26"/>
    <cellStyle name="출력" xfId="3" builtinId="21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E5"/>
      <color rgb="FFCCECFF"/>
      <color rgb="FFCCFFCC"/>
      <color rgb="FFFFFFE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A37C-A600-472A-B5AF-2E804103BDF4}">
  <dimension ref="B1:Y52"/>
  <sheetViews>
    <sheetView tabSelected="1" zoomScale="55" zoomScaleNormal="5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J23" sqref="J23"/>
    </sheetView>
  </sheetViews>
  <sheetFormatPr defaultColWidth="9" defaultRowHeight="16.899999999999999" x14ac:dyDescent="0.6"/>
  <cols>
    <col min="1" max="1" width="7.125" style="4" customWidth="1"/>
    <col min="2" max="2" width="12.25" style="1" customWidth="1"/>
    <col min="3" max="3" width="25.3125" style="1" customWidth="1"/>
    <col min="4" max="4" width="23" style="1" customWidth="1"/>
    <col min="5" max="5" width="21.625" style="1" hidden="1" customWidth="1"/>
    <col min="6" max="24" width="11.625" style="4" customWidth="1"/>
    <col min="25" max="25" width="11.375" style="4" customWidth="1"/>
    <col min="26" max="28" width="9" style="4"/>
    <col min="29" max="29" width="26.5" style="4" customWidth="1"/>
    <col min="30" max="16384" width="9" style="4"/>
  </cols>
  <sheetData>
    <row r="1" spans="2:25" x14ac:dyDescent="0.6">
      <c r="B1" s="9"/>
    </row>
    <row r="2" spans="2:25" x14ac:dyDescent="0.6">
      <c r="B2" s="20" t="s">
        <v>66</v>
      </c>
      <c r="C2" s="21" t="s">
        <v>16</v>
      </c>
      <c r="D2" s="4"/>
      <c r="E2" s="2"/>
      <c r="F2" s="3" t="s">
        <v>10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  <c r="L2" s="3" t="s">
        <v>11</v>
      </c>
      <c r="M2" s="3" t="s">
        <v>11</v>
      </c>
      <c r="N2" s="3" t="s">
        <v>11</v>
      </c>
      <c r="O2" s="3" t="s">
        <v>11</v>
      </c>
      <c r="P2" s="3" t="s">
        <v>11</v>
      </c>
      <c r="Q2" s="3" t="s">
        <v>11</v>
      </c>
      <c r="R2" s="3" t="s">
        <v>11</v>
      </c>
      <c r="S2" s="3" t="s">
        <v>11</v>
      </c>
      <c r="T2" s="3" t="s">
        <v>11</v>
      </c>
      <c r="U2" s="3" t="s">
        <v>11</v>
      </c>
      <c r="V2" s="3" t="s">
        <v>11</v>
      </c>
      <c r="W2" s="3" t="s">
        <v>11</v>
      </c>
      <c r="X2" s="3" t="s">
        <v>11</v>
      </c>
      <c r="Y2" s="3" t="s">
        <v>11</v>
      </c>
    </row>
    <row r="3" spans="2:25" x14ac:dyDescent="0.6">
      <c r="B3" s="20"/>
      <c r="C3" s="21" t="s">
        <v>51</v>
      </c>
      <c r="D3" s="4"/>
      <c r="E3" s="6" t="e">
        <f>AVERAGE(#REF!,#REF!,E17,E31)</f>
        <v>#REF!</v>
      </c>
      <c r="F3" s="6">
        <f>AVERAGE(F12,F17,F31,F40,F52)</f>
        <v>0</v>
      </c>
      <c r="G3" s="6">
        <f>AVERAGE(G12,G17,G31,G40,G52)</f>
        <v>0</v>
      </c>
      <c r="H3" s="6">
        <f>AVERAGE(H12,H17,H31,H40,H52)</f>
        <v>0</v>
      </c>
      <c r="I3" s="6">
        <f>AVERAGE(I12,I17,I31,I40,I52)</f>
        <v>0</v>
      </c>
      <c r="J3" s="6">
        <f>AVERAGE(J12,J17,J31,J40,J52)</f>
        <v>0</v>
      </c>
      <c r="K3" s="6">
        <f>AVERAGE(K12,K17,K31,K40,K52)</f>
        <v>0</v>
      </c>
      <c r="L3" s="6">
        <f>AVERAGE(L12,L17,L31,L40,L52)</f>
        <v>0</v>
      </c>
      <c r="M3" s="6">
        <f>AVERAGE(M12,M17,M31,M40,M52)</f>
        <v>0</v>
      </c>
      <c r="N3" s="6">
        <f>AVERAGE(N12,N17,N31,N40,N52)</f>
        <v>0</v>
      </c>
      <c r="O3" s="6">
        <f>AVERAGE(O12,O17,O31,O40,O52)</f>
        <v>0</v>
      </c>
      <c r="P3" s="6">
        <f>AVERAGE(P12,P17,P31,P40,P52)</f>
        <v>0</v>
      </c>
      <c r="Q3" s="6">
        <f>AVERAGE(Q12,Q17,Q31,Q40,Q52)</f>
        <v>0</v>
      </c>
      <c r="R3" s="6">
        <f>AVERAGE(R12,R17,R31,R40,R52)</f>
        <v>0</v>
      </c>
      <c r="S3" s="6">
        <f>AVERAGE(S12,S17,S31,S40,S52)</f>
        <v>0</v>
      </c>
      <c r="T3" s="6">
        <f>AVERAGE(T12,T17,T31,T40,T52)</f>
        <v>0</v>
      </c>
      <c r="U3" s="6">
        <f>AVERAGE(U12,U17,U31,U40,U52)</f>
        <v>0</v>
      </c>
      <c r="V3" s="6">
        <f>AVERAGE(V12,V17,V31,V40,V52)</f>
        <v>0</v>
      </c>
      <c r="W3" s="6">
        <f>AVERAGE(W12,W17,W31,W40,W52)</f>
        <v>0</v>
      </c>
      <c r="X3" s="6">
        <f>AVERAGE(X12,X17,X31,X40,X52)</f>
        <v>0</v>
      </c>
      <c r="Y3" s="6">
        <f>AVERAGE(Y12,Y17,Y31,Y40,Y52)</f>
        <v>0</v>
      </c>
    </row>
    <row r="4" spans="2:25" x14ac:dyDescent="0.6">
      <c r="B4" s="9"/>
    </row>
    <row r="5" spans="2:25" ht="20.100000000000001" customHeight="1" x14ac:dyDescent="0.6">
      <c r="B5" s="5"/>
      <c r="C5" s="5" t="s">
        <v>0</v>
      </c>
      <c r="D5" s="5"/>
      <c r="E5" s="5" t="s">
        <v>1</v>
      </c>
      <c r="F5" s="3" t="str">
        <f>F2</f>
        <v>11월 15일</v>
      </c>
      <c r="G5" s="3" t="str">
        <f>G2</f>
        <v>월 일</v>
      </c>
      <c r="H5" s="3" t="str">
        <f>H2</f>
        <v>월 일</v>
      </c>
      <c r="I5" s="3" t="str">
        <f>I2</f>
        <v>월 일</v>
      </c>
      <c r="J5" s="3" t="str">
        <f>J2</f>
        <v>월 일</v>
      </c>
      <c r="K5" s="3" t="str">
        <f>K2</f>
        <v>월 일</v>
      </c>
      <c r="L5" s="3" t="str">
        <f>L2</f>
        <v>월 일</v>
      </c>
      <c r="M5" s="3" t="str">
        <f>M2</f>
        <v>월 일</v>
      </c>
      <c r="N5" s="3" t="str">
        <f>N2</f>
        <v>월 일</v>
      </c>
      <c r="O5" s="3" t="str">
        <f>O2</f>
        <v>월 일</v>
      </c>
      <c r="P5" s="3" t="str">
        <f>P2</f>
        <v>월 일</v>
      </c>
      <c r="Q5" s="3" t="str">
        <f>Q2</f>
        <v>월 일</v>
      </c>
      <c r="R5" s="3" t="str">
        <f>R2</f>
        <v>월 일</v>
      </c>
      <c r="S5" s="3" t="str">
        <f>S2</f>
        <v>월 일</v>
      </c>
      <c r="T5" s="3" t="str">
        <f>T2</f>
        <v>월 일</v>
      </c>
      <c r="U5" s="3" t="str">
        <f>U2</f>
        <v>월 일</v>
      </c>
      <c r="V5" s="3" t="str">
        <f>V2</f>
        <v>월 일</v>
      </c>
      <c r="W5" s="3" t="str">
        <f>W2</f>
        <v>월 일</v>
      </c>
      <c r="X5" s="3" t="str">
        <f>X2</f>
        <v>월 일</v>
      </c>
      <c r="Y5" s="3" t="str">
        <f>Y2</f>
        <v>월 일</v>
      </c>
    </row>
    <row r="6" spans="2:25" x14ac:dyDescent="0.6">
      <c r="B6" s="16" t="s">
        <v>12</v>
      </c>
      <c r="C6" s="10" t="s">
        <v>17</v>
      </c>
      <c r="D6" s="7" t="s">
        <v>17</v>
      </c>
      <c r="E6" s="7"/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</row>
    <row r="7" spans="2:25" x14ac:dyDescent="0.6">
      <c r="B7" s="11"/>
      <c r="C7" s="10" t="s">
        <v>18</v>
      </c>
      <c r="D7" s="7" t="s">
        <v>18</v>
      </c>
      <c r="E7" s="7"/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2:25" x14ac:dyDescent="0.6">
      <c r="B8" s="11"/>
      <c r="C8" s="13" t="s">
        <v>19</v>
      </c>
      <c r="D8" s="7" t="s">
        <v>20</v>
      </c>
      <c r="E8" s="7"/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2:25" x14ac:dyDescent="0.6">
      <c r="B9" s="11"/>
      <c r="C9" s="14"/>
      <c r="D9" s="7" t="s">
        <v>21</v>
      </c>
      <c r="E9" s="7"/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</row>
    <row r="10" spans="2:25" x14ac:dyDescent="0.6">
      <c r="B10" s="11"/>
      <c r="C10" s="14"/>
      <c r="D10" s="7" t="s">
        <v>22</v>
      </c>
      <c r="E10" s="7"/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</row>
    <row r="11" spans="2:25" x14ac:dyDescent="0.6">
      <c r="B11" s="11"/>
      <c r="C11" s="15"/>
      <c r="D11" s="7" t="s">
        <v>23</v>
      </c>
      <c r="E11" s="7"/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</row>
    <row r="12" spans="2:25" x14ac:dyDescent="0.6">
      <c r="B12" s="12"/>
      <c r="C12" s="17" t="s">
        <v>41</v>
      </c>
      <c r="D12" s="18"/>
      <c r="E12" s="7"/>
      <c r="F12" s="6">
        <f>AVERAGE(F6:F11)</f>
        <v>0</v>
      </c>
      <c r="G12" s="6">
        <f>AVERAGE(G6:G11)</f>
        <v>0</v>
      </c>
      <c r="H12" s="6">
        <f t="shared" ref="G12:Y12" si="0">AVERAGE(H6:H11)</f>
        <v>0</v>
      </c>
      <c r="I12" s="6">
        <f t="shared" si="0"/>
        <v>0</v>
      </c>
      <c r="J12" s="6">
        <f t="shared" si="0"/>
        <v>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0"/>
        <v>0</v>
      </c>
      <c r="P12" s="6">
        <f t="shared" si="0"/>
        <v>0</v>
      </c>
      <c r="Q12" s="6">
        <f t="shared" si="0"/>
        <v>0</v>
      </c>
      <c r="R12" s="6">
        <f t="shared" si="0"/>
        <v>0</v>
      </c>
      <c r="S12" s="6">
        <f t="shared" si="0"/>
        <v>0</v>
      </c>
      <c r="T12" s="6">
        <f t="shared" si="0"/>
        <v>0</v>
      </c>
      <c r="U12" s="6">
        <f t="shared" si="0"/>
        <v>0</v>
      </c>
      <c r="V12" s="6">
        <f t="shared" si="0"/>
        <v>0</v>
      </c>
      <c r="W12" s="6">
        <f t="shared" si="0"/>
        <v>0</v>
      </c>
      <c r="X12" s="6">
        <f t="shared" si="0"/>
        <v>0</v>
      </c>
      <c r="Y12" s="6">
        <f t="shared" si="0"/>
        <v>0</v>
      </c>
    </row>
    <row r="13" spans="2:25" x14ac:dyDescent="0.6">
      <c r="B13" s="11" t="s">
        <v>13</v>
      </c>
      <c r="C13" s="13" t="s">
        <v>5</v>
      </c>
      <c r="D13" s="7" t="s">
        <v>24</v>
      </c>
      <c r="E13" s="7"/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</row>
    <row r="14" spans="2:25" x14ac:dyDescent="0.6">
      <c r="B14" s="11"/>
      <c r="C14" s="14"/>
      <c r="D14" s="7" t="s">
        <v>25</v>
      </c>
      <c r="E14" s="7"/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</row>
    <row r="15" spans="2:25" x14ac:dyDescent="0.6">
      <c r="B15" s="11"/>
      <c r="C15" s="14"/>
      <c r="D15" s="7" t="s">
        <v>26</v>
      </c>
      <c r="E15" s="7"/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</row>
    <row r="16" spans="2:25" x14ac:dyDescent="0.6">
      <c r="B16" s="11"/>
      <c r="C16" s="15"/>
      <c r="D16" s="7" t="s">
        <v>27</v>
      </c>
      <c r="E16" s="7"/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</row>
    <row r="17" spans="2:25" x14ac:dyDescent="0.6">
      <c r="B17" s="12"/>
      <c r="C17" s="17" t="s">
        <v>41</v>
      </c>
      <c r="D17" s="18"/>
      <c r="E17" s="7"/>
      <c r="F17" s="6">
        <f>AVERAGE(F13:F16)</f>
        <v>0</v>
      </c>
      <c r="G17" s="6">
        <f t="shared" ref="G17:Y17" si="1">AVERAGE(G13:G16)</f>
        <v>0</v>
      </c>
      <c r="H17" s="6">
        <f t="shared" si="1"/>
        <v>0</v>
      </c>
      <c r="I17" s="6">
        <f t="shared" si="1"/>
        <v>0</v>
      </c>
      <c r="J17" s="6">
        <f t="shared" si="1"/>
        <v>0</v>
      </c>
      <c r="K17" s="6">
        <f t="shared" si="1"/>
        <v>0</v>
      </c>
      <c r="L17" s="6">
        <f t="shared" si="1"/>
        <v>0</v>
      </c>
      <c r="M17" s="6">
        <f t="shared" si="1"/>
        <v>0</v>
      </c>
      <c r="N17" s="6">
        <f t="shared" si="1"/>
        <v>0</v>
      </c>
      <c r="O17" s="6">
        <f t="shared" si="1"/>
        <v>0</v>
      </c>
      <c r="P17" s="6">
        <f t="shared" si="1"/>
        <v>0</v>
      </c>
      <c r="Q17" s="6">
        <f t="shared" si="1"/>
        <v>0</v>
      </c>
      <c r="R17" s="6">
        <f t="shared" si="1"/>
        <v>0</v>
      </c>
      <c r="S17" s="6">
        <f t="shared" si="1"/>
        <v>0</v>
      </c>
      <c r="T17" s="6">
        <f t="shared" si="1"/>
        <v>0</v>
      </c>
      <c r="U17" s="6">
        <f t="shared" si="1"/>
        <v>0</v>
      </c>
      <c r="V17" s="6">
        <f t="shared" si="1"/>
        <v>0</v>
      </c>
      <c r="W17" s="6">
        <f t="shared" si="1"/>
        <v>0</v>
      </c>
      <c r="X17" s="6">
        <f t="shared" si="1"/>
        <v>0</v>
      </c>
      <c r="Y17" s="6">
        <f t="shared" si="1"/>
        <v>0</v>
      </c>
    </row>
    <row r="18" spans="2:25" x14ac:dyDescent="0.6">
      <c r="B18" s="16" t="s">
        <v>14</v>
      </c>
      <c r="C18" s="13" t="s">
        <v>28</v>
      </c>
      <c r="D18" s="7" t="s">
        <v>29</v>
      </c>
      <c r="E18" s="7"/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</row>
    <row r="19" spans="2:25" x14ac:dyDescent="0.6">
      <c r="B19" s="11"/>
      <c r="C19" s="15"/>
      <c r="D19" s="7" t="s">
        <v>30</v>
      </c>
      <c r="E19" s="7"/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</row>
    <row r="20" spans="2:25" x14ac:dyDescent="0.6">
      <c r="B20" s="11"/>
      <c r="C20" s="13" t="s">
        <v>3</v>
      </c>
      <c r="D20" s="7" t="s">
        <v>33</v>
      </c>
      <c r="E20" s="7"/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</row>
    <row r="21" spans="2:25" x14ac:dyDescent="0.6">
      <c r="B21" s="11"/>
      <c r="C21" s="14"/>
      <c r="D21" s="7" t="s">
        <v>34</v>
      </c>
      <c r="E21" s="7"/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</row>
    <row r="22" spans="2:25" x14ac:dyDescent="0.6">
      <c r="B22" s="11"/>
      <c r="C22" s="14"/>
      <c r="D22" s="7" t="s">
        <v>35</v>
      </c>
      <c r="E22" s="7"/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</row>
    <row r="23" spans="2:25" x14ac:dyDescent="0.6">
      <c r="B23" s="11"/>
      <c r="C23" s="14"/>
      <c r="D23" s="7" t="s">
        <v>31</v>
      </c>
      <c r="E23" s="7"/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2:25" x14ac:dyDescent="0.6">
      <c r="B24" s="11"/>
      <c r="C24" s="14"/>
      <c r="D24" s="7" t="s">
        <v>32</v>
      </c>
      <c r="E24" s="7"/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</row>
    <row r="25" spans="2:25" x14ac:dyDescent="0.6">
      <c r="B25" s="11"/>
      <c r="C25" s="13" t="s">
        <v>2</v>
      </c>
      <c r="D25" s="7" t="s">
        <v>9</v>
      </c>
      <c r="E25" s="7"/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</row>
    <row r="26" spans="2:25" x14ac:dyDescent="0.6">
      <c r="B26" s="11"/>
      <c r="C26" s="14"/>
      <c r="D26" s="7" t="s">
        <v>36</v>
      </c>
      <c r="E26" s="7"/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</row>
    <row r="27" spans="2:25" x14ac:dyDescent="0.6">
      <c r="B27" s="11"/>
      <c r="C27" s="14"/>
      <c r="D27" s="7" t="s">
        <v>37</v>
      </c>
      <c r="E27" s="7"/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</row>
    <row r="28" spans="2:25" x14ac:dyDescent="0.6">
      <c r="B28" s="11"/>
      <c r="C28" s="14"/>
      <c r="D28" s="7" t="s">
        <v>38</v>
      </c>
      <c r="E28" s="7"/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</row>
    <row r="29" spans="2:25" x14ac:dyDescent="0.6">
      <c r="B29" s="11"/>
      <c r="C29" s="7" t="s">
        <v>39</v>
      </c>
      <c r="D29" s="7" t="s">
        <v>39</v>
      </c>
      <c r="E29" s="7"/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2:25" x14ac:dyDescent="0.6">
      <c r="B30" s="11"/>
      <c r="C30" s="7" t="s">
        <v>40</v>
      </c>
      <c r="D30" s="7" t="s">
        <v>8</v>
      </c>
      <c r="E30" s="7"/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2:25" x14ac:dyDescent="0.6">
      <c r="B31" s="12"/>
      <c r="C31" s="17" t="s">
        <v>41</v>
      </c>
      <c r="D31" s="18"/>
      <c r="E31" s="7"/>
      <c r="F31" s="6">
        <f>AVERAGE(F18:F30)</f>
        <v>0</v>
      </c>
      <c r="G31" s="6">
        <f>AVERAGE(G18:G30)</f>
        <v>0</v>
      </c>
      <c r="H31" s="6">
        <f t="shared" ref="G31:Y31" si="2">AVERAGE(H18:H30)</f>
        <v>0</v>
      </c>
      <c r="I31" s="6">
        <f t="shared" si="2"/>
        <v>0</v>
      </c>
      <c r="J31" s="6">
        <f t="shared" si="2"/>
        <v>0</v>
      </c>
      <c r="K31" s="6">
        <f t="shared" si="2"/>
        <v>0</v>
      </c>
      <c r="L31" s="6">
        <f t="shared" si="2"/>
        <v>0</v>
      </c>
      <c r="M31" s="6">
        <f t="shared" si="2"/>
        <v>0</v>
      </c>
      <c r="N31" s="6">
        <f t="shared" si="2"/>
        <v>0</v>
      </c>
      <c r="O31" s="6">
        <f t="shared" si="2"/>
        <v>0</v>
      </c>
      <c r="P31" s="6">
        <f t="shared" si="2"/>
        <v>0</v>
      </c>
      <c r="Q31" s="6">
        <f t="shared" si="2"/>
        <v>0</v>
      </c>
      <c r="R31" s="6">
        <f t="shared" si="2"/>
        <v>0</v>
      </c>
      <c r="S31" s="6">
        <f t="shared" si="2"/>
        <v>0</v>
      </c>
      <c r="T31" s="6">
        <f t="shared" si="2"/>
        <v>0</v>
      </c>
      <c r="U31" s="6">
        <f t="shared" si="2"/>
        <v>0</v>
      </c>
      <c r="V31" s="6">
        <f t="shared" si="2"/>
        <v>0</v>
      </c>
      <c r="W31" s="6">
        <f t="shared" si="2"/>
        <v>0</v>
      </c>
      <c r="X31" s="6">
        <f t="shared" si="2"/>
        <v>0</v>
      </c>
      <c r="Y31" s="6">
        <f t="shared" si="2"/>
        <v>0</v>
      </c>
    </row>
    <row r="32" spans="2:25" x14ac:dyDescent="0.6">
      <c r="B32" s="11" t="s">
        <v>15</v>
      </c>
      <c r="C32" s="7" t="s">
        <v>42</v>
      </c>
      <c r="D32" s="7" t="s">
        <v>6</v>
      </c>
      <c r="E32" s="7"/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</row>
    <row r="33" spans="2:25" x14ac:dyDescent="0.6">
      <c r="B33" s="11"/>
      <c r="C33" s="7" t="s">
        <v>43</v>
      </c>
      <c r="D33" s="7" t="s">
        <v>7</v>
      </c>
      <c r="E33" s="7"/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</row>
    <row r="34" spans="2:25" x14ac:dyDescent="0.6">
      <c r="B34" s="11"/>
      <c r="C34" s="13" t="s">
        <v>44</v>
      </c>
      <c r="D34" s="7" t="s">
        <v>45</v>
      </c>
      <c r="E34" s="7"/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</row>
    <row r="35" spans="2:25" x14ac:dyDescent="0.6">
      <c r="B35" s="11"/>
      <c r="C35" s="14"/>
      <c r="D35" s="7" t="s">
        <v>46</v>
      </c>
      <c r="E35" s="7"/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</row>
    <row r="36" spans="2:25" x14ac:dyDescent="0.6">
      <c r="B36" s="11"/>
      <c r="C36" s="14"/>
      <c r="D36" s="7" t="s">
        <v>47</v>
      </c>
      <c r="E36" s="7"/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2:25" x14ac:dyDescent="0.6">
      <c r="B37" s="11"/>
      <c r="C37" s="14"/>
      <c r="D37" s="7" t="s">
        <v>50</v>
      </c>
      <c r="E37" s="7"/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</row>
    <row r="38" spans="2:25" x14ac:dyDescent="0.6">
      <c r="B38" s="11"/>
      <c r="C38" s="14"/>
      <c r="D38" s="7" t="s">
        <v>48</v>
      </c>
      <c r="E38" s="7"/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</row>
    <row r="39" spans="2:25" x14ac:dyDescent="0.6">
      <c r="B39" s="11"/>
      <c r="C39" s="15"/>
      <c r="D39" s="7" t="s">
        <v>49</v>
      </c>
      <c r="E39" s="7"/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2:25" x14ac:dyDescent="0.6">
      <c r="B40" s="12"/>
      <c r="C40" s="17" t="s">
        <v>41</v>
      </c>
      <c r="D40" s="18"/>
      <c r="E40" s="7"/>
      <c r="F40" s="6">
        <f>AVERAGE(F32:F39)</f>
        <v>0</v>
      </c>
      <c r="G40" s="6">
        <f t="shared" ref="G40:Y40" si="3">AVERAGE(G32:G39)</f>
        <v>0</v>
      </c>
      <c r="H40" s="6">
        <f>AVERAGE(H32:H39)</f>
        <v>0</v>
      </c>
      <c r="I40" s="6">
        <f t="shared" si="3"/>
        <v>0</v>
      </c>
      <c r="J40" s="6">
        <f t="shared" si="3"/>
        <v>0</v>
      </c>
      <c r="K40" s="6">
        <f t="shared" si="3"/>
        <v>0</v>
      </c>
      <c r="L40" s="6">
        <f t="shared" si="3"/>
        <v>0</v>
      </c>
      <c r="M40" s="6">
        <f t="shared" si="3"/>
        <v>0</v>
      </c>
      <c r="N40" s="6">
        <f t="shared" si="3"/>
        <v>0</v>
      </c>
      <c r="O40" s="6">
        <f t="shared" si="3"/>
        <v>0</v>
      </c>
      <c r="P40" s="6">
        <f t="shared" si="3"/>
        <v>0</v>
      </c>
      <c r="Q40" s="6">
        <f t="shared" si="3"/>
        <v>0</v>
      </c>
      <c r="R40" s="6">
        <f t="shared" si="3"/>
        <v>0</v>
      </c>
      <c r="S40" s="6">
        <f t="shared" si="3"/>
        <v>0</v>
      </c>
      <c r="T40" s="6">
        <f t="shared" si="3"/>
        <v>0</v>
      </c>
      <c r="U40" s="6">
        <f t="shared" si="3"/>
        <v>0</v>
      </c>
      <c r="V40" s="6">
        <f t="shared" si="3"/>
        <v>0</v>
      </c>
      <c r="W40" s="6">
        <f t="shared" si="3"/>
        <v>0</v>
      </c>
      <c r="X40" s="6">
        <f t="shared" si="3"/>
        <v>0</v>
      </c>
      <c r="Y40" s="6">
        <f t="shared" si="3"/>
        <v>0</v>
      </c>
    </row>
    <row r="41" spans="2:25" x14ac:dyDescent="0.6">
      <c r="B41" s="11" t="s">
        <v>4</v>
      </c>
      <c r="C41" s="19" t="s">
        <v>52</v>
      </c>
      <c r="D41" s="7" t="s">
        <v>55</v>
      </c>
      <c r="E41" s="7"/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</row>
    <row r="42" spans="2:25" x14ac:dyDescent="0.6">
      <c r="B42" s="11"/>
      <c r="C42" s="14"/>
      <c r="D42" s="7" t="s">
        <v>56</v>
      </c>
      <c r="E42" s="7"/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</row>
    <row r="43" spans="2:25" x14ac:dyDescent="0.6">
      <c r="B43" s="11"/>
      <c r="C43" s="14"/>
      <c r="D43" s="7" t="s">
        <v>57</v>
      </c>
      <c r="E43" s="7"/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</row>
    <row r="44" spans="2:25" x14ac:dyDescent="0.6">
      <c r="B44" s="11"/>
      <c r="C44" s="14"/>
      <c r="D44" s="7" t="s">
        <v>58</v>
      </c>
      <c r="E44" s="7"/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</row>
    <row r="45" spans="2:25" x14ac:dyDescent="0.6">
      <c r="B45" s="11"/>
      <c r="C45" s="15"/>
      <c r="D45" s="7" t="s">
        <v>59</v>
      </c>
      <c r="E45" s="7"/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</row>
    <row r="46" spans="2:25" x14ac:dyDescent="0.6">
      <c r="B46" s="11"/>
      <c r="C46" s="19" t="s">
        <v>53</v>
      </c>
      <c r="D46" s="7" t="s">
        <v>60</v>
      </c>
      <c r="E46" s="7"/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</row>
    <row r="47" spans="2:25" x14ac:dyDescent="0.6">
      <c r="B47" s="11"/>
      <c r="C47" s="14"/>
      <c r="D47" s="7" t="s">
        <v>61</v>
      </c>
      <c r="E47" s="7"/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</row>
    <row r="48" spans="2:25" x14ac:dyDescent="0.6">
      <c r="B48" s="11"/>
      <c r="C48" s="15"/>
      <c r="D48" s="7" t="s">
        <v>62</v>
      </c>
      <c r="E48" s="7"/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</row>
    <row r="49" spans="2:25" x14ac:dyDescent="0.6">
      <c r="B49" s="11"/>
      <c r="C49" s="19" t="s">
        <v>54</v>
      </c>
      <c r="D49" s="7" t="s">
        <v>63</v>
      </c>
      <c r="E49" s="7"/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</row>
    <row r="50" spans="2:25" x14ac:dyDescent="0.6">
      <c r="B50" s="11"/>
      <c r="C50" s="14"/>
      <c r="D50" s="7" t="s">
        <v>64</v>
      </c>
      <c r="E50" s="7"/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</row>
    <row r="51" spans="2:25" x14ac:dyDescent="0.6">
      <c r="B51" s="11"/>
      <c r="C51" s="15"/>
      <c r="D51" s="7" t="s">
        <v>65</v>
      </c>
      <c r="E51" s="7"/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</row>
    <row r="52" spans="2:25" x14ac:dyDescent="0.6">
      <c r="B52" s="12"/>
      <c r="C52" s="17" t="s">
        <v>41</v>
      </c>
      <c r="D52" s="18"/>
      <c r="E52" s="7"/>
      <c r="F52" s="6">
        <f>AVERAGE(F41:F51)</f>
        <v>0</v>
      </c>
      <c r="G52" s="6">
        <f t="shared" ref="G52:Y52" si="4">AVERAGE(G41:G51)</f>
        <v>0</v>
      </c>
      <c r="H52" s="6">
        <f t="shared" si="4"/>
        <v>0</v>
      </c>
      <c r="I52" s="6">
        <f t="shared" si="4"/>
        <v>0</v>
      </c>
      <c r="J52" s="6">
        <f t="shared" si="4"/>
        <v>0</v>
      </c>
      <c r="K52" s="6">
        <f t="shared" si="4"/>
        <v>0</v>
      </c>
      <c r="L52" s="6">
        <f t="shared" si="4"/>
        <v>0</v>
      </c>
      <c r="M52" s="6">
        <f t="shared" si="4"/>
        <v>0</v>
      </c>
      <c r="N52" s="6">
        <f t="shared" si="4"/>
        <v>0</v>
      </c>
      <c r="O52" s="6">
        <f t="shared" si="4"/>
        <v>0</v>
      </c>
      <c r="P52" s="6">
        <f t="shared" si="4"/>
        <v>0</v>
      </c>
      <c r="Q52" s="6">
        <f t="shared" si="4"/>
        <v>0</v>
      </c>
      <c r="R52" s="6">
        <f t="shared" si="4"/>
        <v>0</v>
      </c>
      <c r="S52" s="6">
        <f t="shared" si="4"/>
        <v>0</v>
      </c>
      <c r="T52" s="6">
        <f t="shared" si="4"/>
        <v>0</v>
      </c>
      <c r="U52" s="6">
        <f t="shared" si="4"/>
        <v>0</v>
      </c>
      <c r="V52" s="6">
        <f t="shared" si="4"/>
        <v>0</v>
      </c>
      <c r="W52" s="6">
        <f t="shared" si="4"/>
        <v>0</v>
      </c>
      <c r="X52" s="6">
        <f t="shared" si="4"/>
        <v>0</v>
      </c>
      <c r="Y52" s="6">
        <f t="shared" si="4"/>
        <v>0</v>
      </c>
    </row>
  </sheetData>
  <mergeCells count="20">
    <mergeCell ref="B2:B3"/>
    <mergeCell ref="B6:B12"/>
    <mergeCell ref="B13:B17"/>
    <mergeCell ref="C13:C16"/>
    <mergeCell ref="C8:C11"/>
    <mergeCell ref="C12:D12"/>
    <mergeCell ref="C17:D17"/>
    <mergeCell ref="C18:C19"/>
    <mergeCell ref="B18:B31"/>
    <mergeCell ref="C20:C24"/>
    <mergeCell ref="C25:C28"/>
    <mergeCell ref="C31:D31"/>
    <mergeCell ref="B32:B40"/>
    <mergeCell ref="C34:C39"/>
    <mergeCell ref="B41:B52"/>
    <mergeCell ref="C41:C45"/>
    <mergeCell ref="C40:D40"/>
    <mergeCell ref="C52:D52"/>
    <mergeCell ref="C46:C48"/>
    <mergeCell ref="C49:C51"/>
  </mergeCells>
  <phoneticPr fontId="3" type="noConversion"/>
  <conditionalFormatting sqref="B6 C7 B18:C18 D19:E24 E6:E10">
    <cfRule type="cellIs" dxfId="2" priority="40" operator="equal">
      <formula>1</formula>
    </cfRule>
  </conditionalFormatting>
  <conditionalFormatting sqref="D6">
    <cfRule type="cellIs" dxfId="1" priority="38" operator="equal">
      <formula>1</formula>
    </cfRule>
  </conditionalFormatting>
  <conditionalFormatting sqref="D7:D10">
    <cfRule type="cellIs" dxfId="0" priority="39" operator="equal">
      <formula>1</formula>
    </cfRule>
  </conditionalFormatting>
  <conditionalFormatting sqref="F6:Y11 F13:Y16">
    <cfRule type="dataBar" priority="56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{611E36B5-F074-4F1A-B3FC-A2F0993E4BD8}</x14:id>
        </ext>
      </extLst>
    </cfRule>
  </conditionalFormatting>
  <conditionalFormatting sqref="F18:Y30">
    <cfRule type="dataBar" priority="57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{21396A38-8B7A-4780-A896-E6EAE7C72E99}</x14:id>
        </ext>
      </extLst>
    </cfRule>
  </conditionalFormatting>
  <conditionalFormatting sqref="F32:Y39">
    <cfRule type="dataBar" priority="57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{680BA44E-CA02-4A0D-A54D-006FF0E1F607}</x14:id>
        </ext>
      </extLst>
    </cfRule>
  </conditionalFormatting>
  <conditionalFormatting sqref="F41:Y51">
    <cfRule type="dataBar" priority="5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{06536579-8F23-40FA-BAF0-9E90B486D068}</x14:id>
        </ext>
      </extLst>
    </cfRule>
  </conditionalFormatting>
  <pageMargins left="0.7" right="0.7" top="0.75" bottom="0.75" header="0.3" footer="0.3"/>
  <pageSetup paperSize="9" orientation="portrait" horizont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1E36B5-F074-4F1A-B3FC-A2F0993E4BD8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F6:Y11 F13:Y16</xm:sqref>
        </x14:conditionalFormatting>
        <x14:conditionalFormatting xmlns:xm="http://schemas.microsoft.com/office/excel/2006/main">
          <x14:cfRule type="dataBar" id="{21396A38-8B7A-4780-A896-E6EAE7C72E9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F18:Y30</xm:sqref>
        </x14:conditionalFormatting>
        <x14:conditionalFormatting xmlns:xm="http://schemas.microsoft.com/office/excel/2006/main">
          <x14:cfRule type="dataBar" id="{680BA44E-CA02-4A0D-A54D-006FF0E1F607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F32:Y39</xm:sqref>
        </x14:conditionalFormatting>
        <x14:conditionalFormatting xmlns:xm="http://schemas.microsoft.com/office/excel/2006/main">
          <x14:cfRule type="dataBar" id="{06536579-8F23-40FA-BAF0-9E90B486D068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F41:Y51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2차 백앤드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YEAIN CHOI</cp:lastModifiedBy>
  <dcterms:created xsi:type="dcterms:W3CDTF">2022-12-06T23:24:44Z</dcterms:created>
  <dcterms:modified xsi:type="dcterms:W3CDTF">2024-11-11T12:28:42Z</dcterms:modified>
</cp:coreProperties>
</file>